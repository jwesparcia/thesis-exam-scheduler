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une\Desktop\"/>
    </mc:Choice>
  </mc:AlternateContent>
  <xr:revisionPtr revIDLastSave="0" documentId="8_{0DA5029B-7DC1-464D-B7AC-00D40BFC9DCA}" xr6:coauthVersionLast="47" xr6:coauthVersionMax="47" xr10:uidLastSave="{00000000-0000-0000-0000-000000000000}"/>
  <bookViews>
    <workbookView xWindow="-110" yWindow="-110" windowWidth="19420" windowHeight="11500" xr2:uid="{CBBE842E-557A-4699-90FC-9AEE1BA9B9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1" i="1" l="1"/>
  <c r="L11" i="1"/>
  <c r="L10" i="1"/>
  <c r="L9" i="1"/>
  <c r="L8" i="1"/>
  <c r="L7" i="1"/>
  <c r="L16" i="1" s="1"/>
  <c r="J19" i="1" s="1"/>
  <c r="J22" i="1" s="1"/>
  <c r="J27" i="1" s="1"/>
</calcChain>
</file>

<file path=xl/sharedStrings.xml><?xml version="1.0" encoding="utf-8"?>
<sst xmlns="http://schemas.openxmlformats.org/spreadsheetml/2006/main" count="123" uniqueCount="83">
  <si>
    <t>Day/Time</t>
  </si>
  <si>
    <t>MONDAY</t>
  </si>
  <si>
    <t>TUESDAY</t>
  </si>
  <si>
    <t>WEDNESDAY</t>
  </si>
  <si>
    <t>THURSDAY</t>
  </si>
  <si>
    <t>FRIDAY</t>
  </si>
  <si>
    <t>SATURDAY</t>
  </si>
  <si>
    <t>07:00 - 07:30</t>
  </si>
  <si>
    <t>COMPROG 2</t>
  </si>
  <si>
    <t>WEBSYS</t>
  </si>
  <si>
    <t>FUND OF WEB</t>
  </si>
  <si>
    <t>INFO MNGT</t>
  </si>
  <si>
    <t>07:30 - 08:00</t>
  </si>
  <si>
    <t>BSCS 1-201</t>
  </si>
  <si>
    <t>BSIT 3-209</t>
  </si>
  <si>
    <t>BSCS 2-202</t>
  </si>
  <si>
    <t>BSIT 2-205</t>
  </si>
  <si>
    <t>CALI, SAPIA BANI</t>
  </si>
  <si>
    <t>08:00 - 08:30</t>
  </si>
  <si>
    <t>LAB</t>
  </si>
  <si>
    <t>RMB505</t>
  </si>
  <si>
    <t>08:30 - 09:00</t>
  </si>
  <si>
    <t>RMB409</t>
  </si>
  <si>
    <t>RMC309</t>
  </si>
  <si>
    <t>RMB212</t>
  </si>
  <si>
    <t>09:00 - 09:30</t>
  </si>
  <si>
    <t>SUBJECT</t>
  </si>
  <si>
    <t>LOAD UNITS</t>
  </si>
  <si>
    <t>NUMBER OF SECTION</t>
  </si>
  <si>
    <t>TOTAL UNITS</t>
  </si>
  <si>
    <t>09:30 - 10:00</t>
  </si>
  <si>
    <t>ADMIN</t>
  </si>
  <si>
    <t>COMPUTER PROGRAMMING 2</t>
  </si>
  <si>
    <t>10:00 - 10:30</t>
  </si>
  <si>
    <t>AM</t>
  </si>
  <si>
    <t>HOURS</t>
  </si>
  <si>
    <t>PROG LANG</t>
  </si>
  <si>
    <t>FUNDAMENTALS OF WEB PROGRAMMING</t>
  </si>
  <si>
    <t>10:30 - 11:00</t>
  </si>
  <si>
    <t>BREAK</t>
  </si>
  <si>
    <t>BSIT 3-201</t>
  </si>
  <si>
    <t>INFORMATION MANAGEMENT</t>
  </si>
  <si>
    <t>11:00 - 11:30</t>
  </si>
  <si>
    <t>PROGRAMMING LANGUAGE</t>
  </si>
  <si>
    <t>11:30 - 12:00</t>
  </si>
  <si>
    <t>RMB502</t>
  </si>
  <si>
    <t>BSIT 3-202</t>
  </si>
  <si>
    <t>RMB413</t>
  </si>
  <si>
    <t>WEB SYSTEMS &amp; TECHNOLOGIES</t>
  </si>
  <si>
    <t>12:00 - 12:30</t>
  </si>
  <si>
    <t>LEC</t>
  </si>
  <si>
    <t>RMB504</t>
  </si>
  <si>
    <t>12:30 - 01:00</t>
  </si>
  <si>
    <t>RMB401</t>
  </si>
  <si>
    <t>RMB404</t>
  </si>
  <si>
    <t>01:00 - 01:30</t>
  </si>
  <si>
    <t>LUNCH</t>
  </si>
  <si>
    <t>ADMIN HOURS</t>
  </si>
  <si>
    <t>01:30 - 02:00</t>
  </si>
  <si>
    <t>BSCS 3-203</t>
  </si>
  <si>
    <t>SCHOOL</t>
  </si>
  <si>
    <t>02:00 - 02:30</t>
  </si>
  <si>
    <t>WIDE BREAK</t>
  </si>
  <si>
    <t>02:30 - 03:00</t>
  </si>
  <si>
    <t>RMB503</t>
  </si>
  <si>
    <t>RMB703</t>
  </si>
  <si>
    <t>03:00 - 03:30</t>
  </si>
  <si>
    <t>Regular Load</t>
  </si>
  <si>
    <t>03:30 - 04:00</t>
  </si>
  <si>
    <t>Overload</t>
  </si>
  <si>
    <t>04:00 - 04:30</t>
  </si>
  <si>
    <t>PM</t>
  </si>
  <si>
    <t>04:30 - 05:00</t>
  </si>
  <si>
    <t>05:00 - 05:30</t>
  </si>
  <si>
    <t>OVERLOAD (ITALIC FONT)</t>
  </si>
  <si>
    <t>05:30 - 06:00</t>
  </si>
  <si>
    <t>TEACHING HOURS</t>
  </si>
  <si>
    <t>06:00 - 06:30</t>
  </si>
  <si>
    <t>06:30 - 07:00</t>
  </si>
  <si>
    <t>RMB403</t>
  </si>
  <si>
    <t>CONSULTATION HOURS</t>
  </si>
  <si>
    <t>TOTAL</t>
  </si>
  <si>
    <t>Contact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</si>
</sst>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</font>
    <font>
      <b/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8EAADB"/>
        <bgColor rgb="FF8EAADB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7" fillId="4" borderId="7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5" fillId="4" borderId="15" xfId="0" applyFont="1" applyFill="1" applyBorder="1"/>
    <xf numFmtId="0" fontId="5" fillId="4" borderId="7" xfId="0" applyFont="1" applyFill="1" applyBorder="1"/>
    <xf numFmtId="0" fontId="6" fillId="0" borderId="16" xfId="0" applyFont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0" fillId="0" borderId="20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5" fillId="4" borderId="23" xfId="0" applyFont="1" applyFill="1" applyBorder="1" applyAlignment="1">
      <alignment horizontal="center" vertical="center"/>
    </xf>
    <xf numFmtId="0" fontId="5" fillId="6" borderId="24" xfId="0" applyFont="1" applyFill="1" applyBorder="1" applyAlignment="1">
      <alignment horizontal="center"/>
    </xf>
    <xf numFmtId="0" fontId="5" fillId="6" borderId="15" xfId="0" applyFont="1" applyFill="1" applyBorder="1" applyAlignment="1">
      <alignment horizontal="center"/>
    </xf>
    <xf numFmtId="0" fontId="7" fillId="4" borderId="25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/>
    </xf>
    <xf numFmtId="0" fontId="5" fillId="6" borderId="26" xfId="0" applyFont="1" applyFill="1" applyBorder="1" applyAlignment="1">
      <alignment horizontal="center"/>
    </xf>
    <xf numFmtId="0" fontId="5" fillId="4" borderId="25" xfId="0" applyFont="1" applyFill="1" applyBorder="1" applyAlignment="1">
      <alignment horizontal="center" vertical="center"/>
    </xf>
    <xf numFmtId="0" fontId="5" fillId="4" borderId="25" xfId="0" applyFont="1" applyFill="1" applyBorder="1"/>
    <xf numFmtId="0" fontId="5" fillId="4" borderId="15" xfId="0" applyFont="1" applyFill="1" applyBorder="1" applyAlignment="1">
      <alignment horizontal="center" vertical="center"/>
    </xf>
    <xf numFmtId="0" fontId="5" fillId="4" borderId="27" xfId="0" applyFont="1" applyFill="1" applyBorder="1"/>
    <xf numFmtId="0" fontId="5" fillId="7" borderId="5" xfId="0" applyFont="1" applyFill="1" applyBorder="1" applyAlignment="1">
      <alignment horizontal="center"/>
    </xf>
    <xf numFmtId="0" fontId="5" fillId="5" borderId="28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0" fillId="0" borderId="30" xfId="0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0" borderId="22" xfId="0" applyFont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0" fillId="0" borderId="19" xfId="0" applyBorder="1" applyAlignment="1">
      <alignment horizontal="center"/>
    </xf>
    <xf numFmtId="0" fontId="1" fillId="0" borderId="30" xfId="0" applyFont="1" applyBorder="1" applyAlignment="1">
      <alignment horizontal="left"/>
    </xf>
    <xf numFmtId="0" fontId="5" fillId="4" borderId="33" xfId="0" applyFont="1" applyFill="1" applyBorder="1" applyAlignment="1">
      <alignment horizontal="center" vertical="center"/>
    </xf>
    <xf numFmtId="0" fontId="5" fillId="4" borderId="34" xfId="0" applyFont="1" applyFill="1" applyBorder="1"/>
    <xf numFmtId="0" fontId="1" fillId="0" borderId="35" xfId="0" applyFont="1" applyBorder="1" applyAlignment="1">
      <alignment horizontal="left"/>
    </xf>
    <xf numFmtId="0" fontId="0" fillId="0" borderId="36" xfId="0" applyBorder="1" applyAlignment="1">
      <alignment horizontal="center"/>
    </xf>
    <xf numFmtId="0" fontId="1" fillId="0" borderId="20" xfId="0" applyFont="1" applyBorder="1" applyAlignment="1">
      <alignment horizontal="left"/>
    </xf>
    <xf numFmtId="0" fontId="6" fillId="0" borderId="20" xfId="0" applyFont="1" applyBorder="1" applyAlignment="1">
      <alignment horizontal="center"/>
    </xf>
    <xf numFmtId="0" fontId="1" fillId="0" borderId="37" xfId="0" applyFont="1" applyBorder="1" applyAlignment="1">
      <alignment horizontal="right"/>
    </xf>
    <xf numFmtId="0" fontId="0" fillId="0" borderId="38" xfId="0" applyBorder="1" applyAlignment="1">
      <alignment horizontal="center"/>
    </xf>
    <xf numFmtId="0" fontId="4" fillId="3" borderId="39" xfId="0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0" fillId="0" borderId="2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C066E-AF63-4860-A9C3-5B7D885FA5B0}">
  <dimension ref="A1:L31"/>
  <sheetViews>
    <sheetView tabSelected="1" topLeftCell="A10" workbookViewId="0">
      <selection activeCell="N13" sqref="N13"/>
    </sheetView>
  </sheetViews>
  <sheetFormatPr defaultRowHeight="14.5" x14ac:dyDescent="0.35"/>
  <sheetData>
    <row r="1" spans="1:12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12" ht="15" thickBot="1" x14ac:dyDescent="0.4">
      <c r="A2" s="4" t="s">
        <v>7</v>
      </c>
      <c r="B2" s="5" t="s">
        <v>8</v>
      </c>
      <c r="C2" s="6"/>
      <c r="D2" s="5" t="s">
        <v>9</v>
      </c>
      <c r="E2" s="5" t="s">
        <v>10</v>
      </c>
      <c r="F2" s="6"/>
      <c r="G2" s="5" t="s">
        <v>11</v>
      </c>
    </row>
    <row r="3" spans="1:12" x14ac:dyDescent="0.35">
      <c r="A3" s="4" t="s">
        <v>12</v>
      </c>
      <c r="B3" s="7" t="s">
        <v>13</v>
      </c>
      <c r="C3" s="8"/>
      <c r="D3" s="7" t="s">
        <v>14</v>
      </c>
      <c r="E3" s="7" t="s">
        <v>15</v>
      </c>
      <c r="F3" s="8"/>
      <c r="G3" s="7" t="s">
        <v>16</v>
      </c>
      <c r="I3" s="9" t="s">
        <v>17</v>
      </c>
      <c r="J3" s="10"/>
      <c r="K3" s="10"/>
      <c r="L3" s="11"/>
    </row>
    <row r="4" spans="1:12" ht="15" thickBot="1" x14ac:dyDescent="0.4">
      <c r="A4" s="4" t="s">
        <v>18</v>
      </c>
      <c r="B4" s="12" t="s">
        <v>19</v>
      </c>
      <c r="C4" s="8"/>
      <c r="D4" s="12" t="s">
        <v>20</v>
      </c>
      <c r="E4" s="12" t="s">
        <v>19</v>
      </c>
      <c r="F4" s="8"/>
      <c r="G4" s="12" t="s">
        <v>19</v>
      </c>
      <c r="I4" s="13"/>
      <c r="J4" s="14"/>
      <c r="K4" s="14"/>
      <c r="L4" s="15"/>
    </row>
    <row r="5" spans="1:12" ht="15" thickBot="1" x14ac:dyDescent="0.4">
      <c r="A5" s="4" t="s">
        <v>21</v>
      </c>
      <c r="B5" s="12" t="s">
        <v>22</v>
      </c>
      <c r="C5" s="8"/>
      <c r="D5" s="16"/>
      <c r="E5" s="12" t="s">
        <v>23</v>
      </c>
      <c r="F5" s="8"/>
      <c r="G5" s="12" t="s">
        <v>24</v>
      </c>
    </row>
    <row r="6" spans="1:12" x14ac:dyDescent="0.35">
      <c r="A6" s="4" t="s">
        <v>25</v>
      </c>
      <c r="B6" s="17"/>
      <c r="C6" s="18"/>
      <c r="D6" s="19"/>
      <c r="E6" s="17"/>
      <c r="F6" s="8"/>
      <c r="G6" s="17"/>
      <c r="I6" s="20" t="s">
        <v>26</v>
      </c>
      <c r="J6" s="21" t="s">
        <v>27</v>
      </c>
      <c r="K6" s="21" t="s">
        <v>28</v>
      </c>
      <c r="L6" s="22" t="s">
        <v>29</v>
      </c>
    </row>
    <row r="7" spans="1:12" ht="15" thickBot="1" x14ac:dyDescent="0.4">
      <c r="A7" s="4" t="s">
        <v>30</v>
      </c>
      <c r="B7" s="16"/>
      <c r="C7" s="18"/>
      <c r="D7" s="23" t="s">
        <v>31</v>
      </c>
      <c r="E7" s="16"/>
      <c r="F7" s="8"/>
      <c r="G7" s="16"/>
      <c r="I7" s="24" t="s">
        <v>32</v>
      </c>
      <c r="J7" s="25">
        <v>3.5</v>
      </c>
      <c r="K7" s="25">
        <v>1</v>
      </c>
      <c r="L7" s="26">
        <f t="shared" ref="L7:L11" si="0">J7*K7</f>
        <v>3.5</v>
      </c>
    </row>
    <row r="8" spans="1:12" x14ac:dyDescent="0.35">
      <c r="A8" s="4" t="s">
        <v>33</v>
      </c>
      <c r="B8" s="27" t="s">
        <v>34</v>
      </c>
      <c r="C8" s="28" t="s">
        <v>9</v>
      </c>
      <c r="D8" s="23" t="s">
        <v>35</v>
      </c>
      <c r="E8" s="5" t="s">
        <v>36</v>
      </c>
      <c r="F8" s="18"/>
      <c r="G8" s="29" t="s">
        <v>34</v>
      </c>
      <c r="I8" s="24" t="s">
        <v>37</v>
      </c>
      <c r="J8" s="25">
        <v>3.5</v>
      </c>
      <c r="K8" s="25">
        <v>1</v>
      </c>
      <c r="L8" s="26">
        <f t="shared" si="0"/>
        <v>3.5</v>
      </c>
    </row>
    <row r="9" spans="1:12" ht="15" thickBot="1" x14ac:dyDescent="0.4">
      <c r="A9" s="4" t="s">
        <v>38</v>
      </c>
      <c r="B9" s="30" t="s">
        <v>39</v>
      </c>
      <c r="C9" s="31" t="s">
        <v>14</v>
      </c>
      <c r="D9" s="32"/>
      <c r="E9" s="7" t="s">
        <v>40</v>
      </c>
      <c r="F9" s="18"/>
      <c r="G9" s="33" t="s">
        <v>39</v>
      </c>
      <c r="I9" s="24" t="s">
        <v>41</v>
      </c>
      <c r="J9" s="25">
        <v>3.5</v>
      </c>
      <c r="K9" s="25">
        <v>1</v>
      </c>
      <c r="L9" s="26">
        <f t="shared" si="0"/>
        <v>3.5</v>
      </c>
    </row>
    <row r="10" spans="1:12" x14ac:dyDescent="0.35">
      <c r="A10" s="4" t="s">
        <v>42</v>
      </c>
      <c r="B10" s="5" t="s">
        <v>8</v>
      </c>
      <c r="C10" s="34" t="s">
        <v>19</v>
      </c>
      <c r="D10" s="5" t="s">
        <v>9</v>
      </c>
      <c r="E10" s="12" t="s">
        <v>19</v>
      </c>
      <c r="F10" s="8"/>
      <c r="G10" s="5" t="s">
        <v>11</v>
      </c>
      <c r="I10" s="24" t="s">
        <v>43</v>
      </c>
      <c r="J10" s="25">
        <v>3.5</v>
      </c>
      <c r="K10" s="25">
        <v>2</v>
      </c>
      <c r="L10" s="26">
        <f t="shared" si="0"/>
        <v>7</v>
      </c>
    </row>
    <row r="11" spans="1:12" x14ac:dyDescent="0.35">
      <c r="A11" s="4" t="s">
        <v>44</v>
      </c>
      <c r="B11" s="7" t="s">
        <v>13</v>
      </c>
      <c r="C11" s="34" t="s">
        <v>45</v>
      </c>
      <c r="D11" s="7" t="s">
        <v>46</v>
      </c>
      <c r="E11" s="12" t="s">
        <v>47</v>
      </c>
      <c r="F11" s="8"/>
      <c r="G11" s="7" t="s">
        <v>16</v>
      </c>
      <c r="I11" s="24" t="s">
        <v>48</v>
      </c>
      <c r="J11" s="25">
        <v>3.5</v>
      </c>
      <c r="K11" s="25">
        <v>2</v>
      </c>
      <c r="L11" s="26">
        <f t="shared" si="0"/>
        <v>7</v>
      </c>
    </row>
    <row r="12" spans="1:12" x14ac:dyDescent="0.35">
      <c r="A12" s="4" t="s">
        <v>49</v>
      </c>
      <c r="B12" s="12" t="s">
        <v>50</v>
      </c>
      <c r="C12" s="35"/>
      <c r="D12" s="12" t="s">
        <v>51</v>
      </c>
      <c r="E12" s="17"/>
      <c r="F12" s="8"/>
      <c r="G12" s="12" t="s">
        <v>50</v>
      </c>
      <c r="I12" s="24"/>
      <c r="J12" s="25"/>
      <c r="K12" s="25"/>
      <c r="L12" s="26"/>
    </row>
    <row r="13" spans="1:12" ht="15" thickBot="1" x14ac:dyDescent="0.4">
      <c r="A13" s="4" t="s">
        <v>52</v>
      </c>
      <c r="B13" s="36" t="s">
        <v>53</v>
      </c>
      <c r="C13" s="37"/>
      <c r="D13" s="16"/>
      <c r="E13" s="16"/>
      <c r="F13" s="8"/>
      <c r="G13" s="36" t="s">
        <v>54</v>
      </c>
      <c r="I13" s="24"/>
      <c r="J13" s="25"/>
      <c r="K13" s="25"/>
      <c r="L13" s="26"/>
    </row>
    <row r="14" spans="1:12" ht="15" thickBot="1" x14ac:dyDescent="0.4">
      <c r="A14" s="4" t="s">
        <v>55</v>
      </c>
      <c r="B14" s="5" t="s">
        <v>36</v>
      </c>
      <c r="C14" s="27" t="s">
        <v>56</v>
      </c>
      <c r="D14" s="38"/>
      <c r="E14" s="39" t="s">
        <v>57</v>
      </c>
      <c r="F14" s="18"/>
      <c r="G14" s="5" t="s">
        <v>10</v>
      </c>
      <c r="I14" s="24"/>
      <c r="J14" s="25"/>
      <c r="K14" s="25"/>
      <c r="L14" s="26"/>
    </row>
    <row r="15" spans="1:12" ht="15" thickBot="1" x14ac:dyDescent="0.4">
      <c r="A15" s="4" t="s">
        <v>58</v>
      </c>
      <c r="B15" s="7" t="s">
        <v>59</v>
      </c>
      <c r="C15" s="30" t="s">
        <v>39</v>
      </c>
      <c r="D15" s="40" t="s">
        <v>60</v>
      </c>
      <c r="E15" s="41"/>
      <c r="F15" s="42"/>
      <c r="G15" s="7" t="s">
        <v>15</v>
      </c>
      <c r="I15" s="24"/>
      <c r="J15" s="25"/>
      <c r="K15" s="25"/>
      <c r="L15" s="26"/>
    </row>
    <row r="16" spans="1:12" ht="15" thickBot="1" x14ac:dyDescent="0.4">
      <c r="A16" s="4" t="s">
        <v>61</v>
      </c>
      <c r="B16" s="12" t="s">
        <v>19</v>
      </c>
      <c r="C16" s="19"/>
      <c r="D16" s="40" t="s">
        <v>62</v>
      </c>
      <c r="E16" s="18"/>
      <c r="F16" s="42"/>
      <c r="G16" s="12" t="s">
        <v>50</v>
      </c>
      <c r="I16" s="43"/>
      <c r="J16" s="44"/>
      <c r="K16" s="44"/>
      <c r="L16" s="45">
        <f>SUM(L7:L14)</f>
        <v>24.5</v>
      </c>
    </row>
    <row r="17" spans="1:12" ht="15" thickBot="1" x14ac:dyDescent="0.4">
      <c r="A17" s="4" t="s">
        <v>63</v>
      </c>
      <c r="B17" s="12" t="s">
        <v>64</v>
      </c>
      <c r="C17" s="23" t="s">
        <v>31</v>
      </c>
      <c r="D17" s="46"/>
      <c r="E17" s="18"/>
      <c r="F17" s="42"/>
      <c r="G17" s="36" t="s">
        <v>65</v>
      </c>
      <c r="J17" s="47"/>
      <c r="K17" s="47"/>
      <c r="L17" s="47"/>
    </row>
    <row r="18" spans="1:12" x14ac:dyDescent="0.35">
      <c r="A18" s="4" t="s">
        <v>66</v>
      </c>
      <c r="B18" s="12"/>
      <c r="C18" s="23" t="s">
        <v>35</v>
      </c>
      <c r="D18" s="5" t="s">
        <v>36</v>
      </c>
      <c r="E18" s="18"/>
      <c r="F18" s="42"/>
      <c r="G18" s="48"/>
      <c r="I18" s="49" t="s">
        <v>67</v>
      </c>
      <c r="J18" s="50">
        <v>24</v>
      </c>
      <c r="K18" s="47"/>
      <c r="L18" s="47"/>
    </row>
    <row r="19" spans="1:12" ht="15" thickBot="1" x14ac:dyDescent="0.4">
      <c r="A19" s="4" t="s">
        <v>68</v>
      </c>
      <c r="B19" s="36"/>
      <c r="C19" s="32"/>
      <c r="D19" s="7" t="s">
        <v>40</v>
      </c>
      <c r="E19" s="18"/>
      <c r="F19" s="42"/>
      <c r="G19" s="48"/>
      <c r="I19" s="51" t="s">
        <v>69</v>
      </c>
      <c r="J19" s="45">
        <f>L16-J18</f>
        <v>0.5</v>
      </c>
      <c r="K19" s="47"/>
      <c r="L19" s="47"/>
    </row>
    <row r="20" spans="1:12" x14ac:dyDescent="0.35">
      <c r="A20" s="4" t="s">
        <v>70</v>
      </c>
      <c r="B20" s="29" t="s">
        <v>71</v>
      </c>
      <c r="C20" s="5" t="s">
        <v>9</v>
      </c>
      <c r="D20" s="52" t="s">
        <v>51</v>
      </c>
      <c r="E20" s="18"/>
      <c r="F20" s="42"/>
      <c r="G20" s="48"/>
      <c r="J20" s="47"/>
      <c r="K20" s="47"/>
      <c r="L20" s="47"/>
    </row>
    <row r="21" spans="1:12" ht="15" thickBot="1" x14ac:dyDescent="0.4">
      <c r="A21" s="4" t="s">
        <v>72</v>
      </c>
      <c r="B21" s="33" t="s">
        <v>39</v>
      </c>
      <c r="C21" s="7" t="s">
        <v>46</v>
      </c>
      <c r="D21" s="53"/>
      <c r="E21" s="18"/>
      <c r="F21" s="42"/>
      <c r="G21" s="48"/>
      <c r="J21" s="47"/>
      <c r="K21" s="47"/>
      <c r="L21" s="47"/>
    </row>
    <row r="22" spans="1:12" x14ac:dyDescent="0.35">
      <c r="A22" s="4" t="s">
        <v>73</v>
      </c>
      <c r="B22" s="5" t="s">
        <v>36</v>
      </c>
      <c r="C22" s="12" t="s">
        <v>19</v>
      </c>
      <c r="D22" s="18"/>
      <c r="E22" s="42"/>
      <c r="F22" s="42"/>
      <c r="G22" s="48"/>
      <c r="I22" s="49" t="s">
        <v>74</v>
      </c>
      <c r="J22" s="50">
        <f>J19</f>
        <v>0.5</v>
      </c>
      <c r="K22" s="47"/>
      <c r="L22" s="47"/>
    </row>
    <row r="23" spans="1:12" x14ac:dyDescent="0.35">
      <c r="A23" s="4" t="s">
        <v>75</v>
      </c>
      <c r="B23" s="7" t="s">
        <v>59</v>
      </c>
      <c r="C23" s="12" t="s">
        <v>47</v>
      </c>
      <c r="D23" s="18"/>
      <c r="E23" s="42"/>
      <c r="F23" s="42"/>
      <c r="G23" s="48"/>
      <c r="I23" s="54" t="s">
        <v>76</v>
      </c>
      <c r="J23" s="55">
        <v>0</v>
      </c>
    </row>
    <row r="24" spans="1:12" x14ac:dyDescent="0.35">
      <c r="A24" s="4" t="s">
        <v>77</v>
      </c>
      <c r="B24" s="12" t="s">
        <v>50</v>
      </c>
      <c r="C24" s="17"/>
      <c r="D24" s="18"/>
      <c r="E24" s="42"/>
      <c r="F24" s="42"/>
      <c r="G24" s="48"/>
      <c r="I24" s="56" t="s">
        <v>57</v>
      </c>
      <c r="J24" s="26">
        <v>0</v>
      </c>
    </row>
    <row r="25" spans="1:12" ht="15" thickBot="1" x14ac:dyDescent="0.4">
      <c r="A25" s="4" t="s">
        <v>78</v>
      </c>
      <c r="B25" s="36" t="s">
        <v>79</v>
      </c>
      <c r="C25" s="16"/>
      <c r="D25" s="18"/>
      <c r="E25" s="42"/>
      <c r="F25" s="42"/>
      <c r="G25" s="48"/>
      <c r="I25" s="51" t="s">
        <v>80</v>
      </c>
      <c r="J25" s="45">
        <v>0</v>
      </c>
    </row>
    <row r="26" spans="1:12" ht="15" thickBot="1" x14ac:dyDescent="0.4">
      <c r="A26" s="4" t="s">
        <v>7</v>
      </c>
      <c r="B26" s="57"/>
      <c r="C26" s="42"/>
      <c r="D26" s="42"/>
      <c r="E26" s="42"/>
      <c r="F26" s="42"/>
      <c r="G26" s="48"/>
    </row>
    <row r="27" spans="1:12" ht="15" thickBot="1" x14ac:dyDescent="0.4">
      <c r="A27" s="4" t="s">
        <v>12</v>
      </c>
      <c r="B27" s="57"/>
      <c r="C27" s="42"/>
      <c r="D27" s="42"/>
      <c r="E27" s="42"/>
      <c r="F27" s="42"/>
      <c r="G27" s="48"/>
      <c r="I27" s="58" t="s">
        <v>81</v>
      </c>
      <c r="J27" s="59">
        <f>SUM(J22:J25)</f>
        <v>0.5</v>
      </c>
    </row>
    <row r="28" spans="1:12" x14ac:dyDescent="0.35">
      <c r="A28" s="4" t="s">
        <v>18</v>
      </c>
      <c r="B28" s="57"/>
      <c r="C28" s="42"/>
      <c r="D28" s="42"/>
      <c r="E28" s="42"/>
      <c r="F28" s="42"/>
      <c r="G28" s="48"/>
    </row>
    <row r="29" spans="1:12" ht="15" thickBot="1" x14ac:dyDescent="0.4">
      <c r="A29" s="60" t="s">
        <v>21</v>
      </c>
      <c r="B29" s="61"/>
      <c r="C29" s="62"/>
      <c r="D29" s="62"/>
      <c r="E29" s="62"/>
      <c r="F29" s="62"/>
      <c r="G29" s="63"/>
      <c r="H29" s="64" t="s">
        <v>81</v>
      </c>
    </row>
    <row r="30" spans="1:12" x14ac:dyDescent="0.35">
      <c r="H30" s="64" t="s">
        <v>35</v>
      </c>
    </row>
    <row r="31" spans="1:12" x14ac:dyDescent="0.35">
      <c r="A31" s="65" t="s">
        <v>82</v>
      </c>
      <c r="B31" s="25">
        <v>10</v>
      </c>
      <c r="C31" s="25">
        <v>8</v>
      </c>
      <c r="D31" s="25">
        <v>9</v>
      </c>
      <c r="E31" s="25">
        <v>6.5</v>
      </c>
      <c r="F31" s="25">
        <v>0</v>
      </c>
      <c r="G31" s="25">
        <v>7</v>
      </c>
      <c r="H31" s="66">
        <f>SUM(B31:G31)</f>
        <v>40.5</v>
      </c>
    </row>
  </sheetData>
  <mergeCells count="1">
    <mergeCell ref="I3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Jhune Wally Esparcia</dc:creator>
  <cp:lastModifiedBy>Jhune Wally Esparcia</cp:lastModifiedBy>
  <dcterms:created xsi:type="dcterms:W3CDTF">2026-05-11T10:13:40Z</dcterms:created>
  <dcterms:modified xsi:type="dcterms:W3CDTF">2026-05-11T10:14:01Z</dcterms:modified>
</cp:coreProperties>
</file>